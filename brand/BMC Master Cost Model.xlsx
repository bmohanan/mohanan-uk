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st Review" sheetId="1" r:id="rId1"/>
  </sheets>
</workbook>
</file>

<file path=xl/styles.xml><?xml version="1.0" encoding="utf-8"?>
<styleSheet xmlns="http://schemas.openxmlformats.org/spreadsheetml/2006/main">
  <numFmts count="3">
    <numFmt numFmtId="164" formatCode="&quot;£&quot;#,##0"/>
    <numFmt numFmtId="165" formatCode="0.0%"/>
    <numFmt numFmtId="166" formatCode="&quot;£&quot;#,##0&quot; / yr&quot;"/>
  </numFmts>
  <fonts count="11">
    <font>
      <sz val="11"/>
      <color rgb="FF131319"/>
      <name val="Calibri"/>
    </font>
    <font>
      <sz val="20"/>
      <color rgb="FF131319"/>
      <name val="Calibri"/>
      <b/>
    </font>
    <font>
      <sz val="9"/>
      <color rgb="FF6B6B7A"/>
      <name val="Consolas"/>
    </font>
    <font>
      <sz val="11"/>
      <color rgb="FF131319"/>
      <name val="Calibri"/>
      <b/>
    </font>
    <font>
      <sz val="18"/>
      <color rgb="FF131319"/>
      <name val="Calibri"/>
      <b/>
    </font>
    <font>
      <sz val="18"/>
      <color rgb="FF6A3DF5"/>
      <name val="Calibri"/>
      <b/>
    </font>
    <font>
      <sz val="11"/>
      <color rgb="FFFFFFFF"/>
      <name val="Calibri"/>
      <b/>
    </font>
    <font>
      <sz val="10"/>
      <color rgb="FFFFFFFF"/>
      <name val="Consolas"/>
      <b/>
    </font>
    <font>
      <sz val="11"/>
      <color rgb="FF46D9C8"/>
      <name val="Calibri"/>
    </font>
    <font>
      <sz val="10"/>
      <color rgb="FF6B6B7A"/>
      <name val="Consolas"/>
      <i/>
    </font>
    <font>
      <sz val="9"/>
      <color rgb="FFD97706"/>
      <name val="Consolas"/>
      <b/>
    </font>
  </fonts>
  <fills count="8">
    <fill>
      <patternFill patternType="none"/>
    </fill>
    <fill>
      <patternFill patternType="gray125"/>
    </fill>
    <fill>
      <patternFill patternType="solid">
        <fgColor rgb="FF131319"/>
      </patternFill>
    </fill>
    <fill>
      <patternFill patternType="solid">
        <fgColor rgb="FFF1F1EC"/>
      </patternFill>
    </fill>
    <fill>
      <patternFill patternType="solid">
        <fgColor rgb="FFFAFAF7"/>
      </patternFill>
    </fill>
    <fill>
      <patternFill patternType="solid">
        <fgColor rgb="FFFEF3C7"/>
      </patternFill>
    </fill>
    <fill>
      <patternFill patternType="solid">
        <fgColor rgb="FFDDEBFE"/>
      </patternFill>
    </fill>
    <fill>
      <patternFill patternType="solid">
        <fgColor rgb="FFE9E2FF"/>
      </patternFill>
    </fill>
  </fills>
  <borders count="4">
    <border/>
    <border>
      <bottom style="thin">
        <color rgb="FFD9D8D5"/>
      </bottom>
    </border>
    <border>
      <top style="medium">
        <color rgb="FF131319"/>
      </top>
      <bottom style="thin">
        <color rgb="FF131319"/>
      </bottom>
    </border>
    <border>
      <bottom style="medium">
        <color rgb="FF6A3DF5"/>
      </bottom>
    </border>
  </borders>
  <cellStyleXfs count="1">
    <xf/>
  </cellStyleXfs>
  <cellXfs count="20">
    <xf fontId="0" fillId="0" borderId="0" xfId="0"/>
    <xf fontId="1" fillId="0" borderId="3" xfId="0" applyFont="1" applyBorder="1"/>
    <xf fontId="2" fillId="0" borderId="0" xfId="0" applyFont="1"/>
    <xf fontId="3" fillId="0" borderId="0" xfId="0" applyFont="1"/>
    <xf fontId="4" fillId="0" borderId="1" xfId="0" applyFont="1" applyBorder="1" applyNumberFormat="1" numFmtId="164"/>
    <xf fontId="5" fillId="0" borderId="1" xfId="0" applyFont="1" applyBorder="1" applyNumberFormat="1" numFmtId="164"/>
    <xf fontId="2" fillId="0" borderId="0" xfId="0" applyFont="1" applyAlignment="1">
      <alignment horizontal="left"/>
    </xf>
    <xf fontId="6" fillId="2" borderId="0" xfId="0" applyFont="1" applyFill="1" applyAlignment="1">
      <alignment horizontal="left" vertical="center"/>
    </xf>
    <xf fontId="7" fillId="2" borderId="0" xfId="0" applyFont="1" applyFill="1" applyAlignment="1">
      <alignment horizontal="left" vertical="center" wrapText="1"/>
    </xf>
    <xf fontId="0" fillId="0" borderId="1" xfId="0" applyBorder="1"/>
    <xf fontId="0" fillId="0" borderId="1" xfId="0" applyBorder="1" applyNumberFormat="1" numFmtId="164" applyAlignment="1">
      <alignment horizontal="right"/>
    </xf>
    <xf fontId="3" fillId="3" borderId="2" xfId="0" applyFont="1" applyFill="1" applyBorder="1" applyNumberFormat="1" numFmtId="164" applyAlignment="1">
      <alignment horizontal="right"/>
    </xf>
    <xf fontId="0" fillId="0" borderId="1" xfId="0" applyBorder="1" applyNumberFormat="1" numFmtId="165" applyAlignment="1">
      <alignment horizontal="right"/>
    </xf>
    <xf fontId="8" fillId="0" borderId="0" xfId="0" applyFont="1"/>
    <xf fontId="10" fillId="5" borderId="1" xfId="0" applyFont="1" applyFill="1" applyBorder="1" applyAlignment="1">
      <alignment horizontal="center"/>
    </xf>
    <xf fontId="7" fillId="6" borderId="1" xfId="0" applyFont="1" applyFill="1" applyBorder="1" applyAlignment="1">
      <alignment horizontal="center"/>
    </xf>
    <xf fontId="3" fillId="3" borderId="2" xfId="0" applyFont="1" applyFill="1" applyBorder="1"/>
    <xf fontId="9" fillId="0" borderId="0" xfId="0" applyFont="1"/>
    <xf fontId="3" fillId="3" borderId="2" xfId="0" applyFont="1" applyFill="1" applyBorder="1" applyNumberFormat="1" numFmtId="165" applyAlignment="1">
      <alignment horizontal="right"/>
    </xf>
    <xf fontId="0" fillId="7" borderId="1" xfId="0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" defaultColWidth="11"/>
  <cols>
    <col min="1" max="1" width="22"/>
    <col min="2" max="2" width="56"/>
    <col min="3" max="3" width="14"/>
    <col min="4" max="4" width="14"/>
    <col min="5" max="5" width="16"/>
    <col min="6" max="6" width="16"/>
    <col min="7" max="7" width="14"/>
    <col min="8" max="8" width="14"/>
    <col min="9" max="9" width="20"/>
  </cols>
  <sheetData>
    <row r="1" ht="32" customHeight="1">
      <c r="A1" s="1" t="inlineStr">
        <is>
          <t xml:space="preserve">~bmc · Bimal Mohanan Consulting</t>
        </is>
      </c>
    </row>
    <row r="2" ht="18" customHeight="1">
      <c r="A2" s="2" t="inlineStr">
        <is>
          <t xml:space="preserve">// Monthly Cloud Cost Review — AWS + Azure</t>
        </is>
      </c>
    </row>
    <row r="4">
      <c r="A4" s="2" t="inlineStr">
        <is>
          <t xml:space="preserve">CLIENT</t>
        </is>
      </c>
      <c r="B4" s="3" t="inlineStr">
        <is>
          <t xml:space="preserve">Northwind Energy plc</t>
        </is>
      </c>
      <c r="D4" s="2" t="inlineStr">
        <is>
          <t xml:space="preserve">PERIOD</t>
        </is>
      </c>
      <c r="E4" s="3" t="inlineStr">
        <is>
          <t xml:space="preserve">May 2026</t>
        </is>
      </c>
    </row>
    <row r="5">
      <c r="A5" s="2" t="inlineStr">
        <is>
          <t xml:space="preserve">PREPARED BY</t>
        </is>
      </c>
      <c r="B5" s="3" t="inlineStr">
        <is>
          <t xml:space="preserve">Bimal Mohanan · BMC</t>
        </is>
      </c>
      <c r="D5" s="2" t="inlineStr">
        <is>
          <t xml:space="preserve">REF</t>
        </is>
      </c>
      <c r="E5" s="3" t="inlineStr">
        <is>
          <t xml:space="preserve">BMC-FN-2026-05-001</t>
        </is>
      </c>
    </row>
    <row r="6">
      <c r="A6" s="2" t="inlineStr">
        <is>
          <t xml:space="preserve">CURRENCY</t>
        </is>
      </c>
      <c r="B6" s="3" t="inlineStr">
        <is>
          <t xml:space="preserve">GBP (£) · ex VAT</t>
        </is>
      </c>
      <c r="D6" s="2" t="inlineStr">
        <is>
          <t xml:space="preserve">ANNUAL RUN-RATE</t>
        </is>
      </c>
      <c r="E6" s="4">
        <v>3415320</v>
      </c>
    </row>
    <row r="8" ht="26" customHeight="1">
      <c r="A8" s="8" t="inlineStr">
        <is>
          <t xml:space="preserve">// 01 — KEY NUMBERS</t>
        </is>
      </c>
      <c r="B8" s="8" t="inlineStr">
        <is>
          <t xml:space="preserve"/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</row>
    <row r="9">
      <c r="A9" s="2" t="inlineStr">
        <is>
          <t xml:space="preserve">MONTHLY SPEND</t>
        </is>
      </c>
      <c r="B9" s="2" t="inlineStr">
        <is>
          <t xml:space="preserve">IDENTIFIED SAVINGS</t>
        </is>
      </c>
      <c r="C9" s="2" t="inlineStr">
        <is>
          <t xml:space="preserve">COVERAGE TODAY</t>
        </is>
      </c>
      <c r="D9" s="2" t="inlineStr">
        <is>
          <t xml:space="preserve">COVERAGE TARGET</t>
        </is>
      </c>
      <c r="E9" s="2" t="inlineStr">
        <is>
          <t xml:space="preserve">PAYBACK</t>
        </is>
      </c>
    </row>
    <row r="10" ht="28" customHeight="1">
      <c r="A10" s="4">
        <v>284610</v>
      </c>
      <c r="B10" s="5">
        <v>71940</v>
      </c>
      <c r="C10" s="12">
        <v>0.62</v>
      </c>
      <c r="D10" s="12">
        <v>0.8</v>
      </c>
      <c r="E10" s="3" t="inlineStr">
        <is>
          <t xml:space="preserve">4.1 months</t>
        </is>
      </c>
    </row>
    <row r="12" ht="26" customHeight="1">
      <c r="A12" s="8" t="inlineStr">
        <is>
          <t xml:space="preserve">// 02 — SPEND BY CLOUD · TOP SERVICES</t>
        </is>
      </c>
      <c r="B12" s="8" t="inlineStr">
        <is>
          <t xml:space="preserve"/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</row>
    <row r="13">
      <c r="A13" s="7" t="inlineStr">
        <is>
          <t xml:space="preserve">CLOUD</t>
        </is>
      </c>
      <c r="B13" s="7" t="inlineStr">
        <is>
          <t xml:space="preserve">SERVICE</t>
        </is>
      </c>
      <c r="C13" s="7" t="inlineStr">
        <is>
          <t xml:space="preserve">MONTHLY £</t>
        </is>
      </c>
      <c r="D13" s="7" t="inlineStr">
        <is>
          <t xml:space="preserve">ANNUAL £ (formula)</t>
        </is>
      </c>
      <c r="E13" s="7" t="inlineStr">
        <is>
          <t xml:space="preserve">% OF CLOUD</t>
        </is>
      </c>
    </row>
    <row r="14">
      <c r="A14" s="14" t="inlineStr">
        <is>
          <t xml:space="preserve">AWS</t>
        </is>
      </c>
      <c r="B14" s="9" t="inlineStr">
        <is>
          <t xml:space="preserve">EC2 — m6i / c7i compute</t>
        </is>
      </c>
      <c r="C14" s="10">
        <v>62810</v>
      </c>
      <c r="D14" s="10">
        <f>C14*12</f>
      </c>
      <c r="E14" s="12">
        <f>C14/SUM(C14:C19)</f>
      </c>
    </row>
    <row r="15">
      <c r="A15" s="14" t="inlineStr">
        <is>
          <t xml:space="preserve">AWS</t>
        </is>
      </c>
      <c r="B15" s="9" t="inlineStr">
        <is>
          <t xml:space="preserve">RDS / Aurora PostgreSQL</t>
        </is>
      </c>
      <c r="C15" s="10">
        <v>34920</v>
      </c>
      <c r="D15" s="10">
        <f>C15*12</f>
      </c>
      <c r="E15" s="12">
        <f>C15/SUM(C14:C19)</f>
      </c>
    </row>
    <row r="16">
      <c r="A16" s="14" t="inlineStr">
        <is>
          <t xml:space="preserve">AWS</t>
        </is>
      </c>
      <c r="B16" s="9" t="inlineStr">
        <is>
          <t xml:space="preserve">S3 · Standard + IA</t>
        </is>
      </c>
      <c r="C16" s="10">
        <v>18640</v>
      </c>
      <c r="D16" s="10">
        <f>C16*12</f>
      </c>
      <c r="E16" s="12">
        <f>C16/SUM(C14:C19)</f>
      </c>
    </row>
    <row r="17">
      <c r="A17" s="14" t="inlineStr">
        <is>
          <t xml:space="preserve">AWS</t>
        </is>
      </c>
      <c r="B17" s="9" t="inlineStr">
        <is>
          <t xml:space="preserve">CloudFront + DataXfer</t>
        </is>
      </c>
      <c r="C17" s="10">
        <v>14210</v>
      </c>
      <c r="D17" s="10">
        <f>C17*12</f>
      </c>
      <c r="E17" s="12">
        <f>C17/SUM(C14:C19)</f>
      </c>
    </row>
    <row r="18">
      <c r="A18" s="14" t="inlineStr">
        <is>
          <t xml:space="preserve">AWS</t>
        </is>
      </c>
      <c r="B18" s="9" t="inlineStr">
        <is>
          <t xml:space="preserve">EKS + Fargate</t>
        </is>
      </c>
      <c r="C18" s="10">
        <v>12480</v>
      </c>
      <c r="D18" s="10">
        <f>C18*12</f>
      </c>
      <c r="E18" s="12">
        <f>C18/SUM(C14:C19)</f>
      </c>
    </row>
    <row r="19">
      <c r="A19" s="14" t="inlineStr">
        <is>
          <t xml:space="preserve">AWS</t>
        </is>
      </c>
      <c r="B19" s="9" t="inlineStr">
        <is>
          <t xml:space="preserve">All other (Lambda, SQS, …)</t>
        </is>
      </c>
      <c r="C19" s="10">
        <v>25360</v>
      </c>
      <c r="D19" s="10">
        <f>C19*12</f>
      </c>
      <c r="E19" s="12">
        <f>C19/SUM(C14:C19)</f>
      </c>
    </row>
    <row r="20">
      <c r="A20" s="16" t="inlineStr">
        <is>
          <t xml:space="preserve">AWS · Total</t>
        </is>
      </c>
      <c r="B20" s="16" t="inlineStr">
        <is>
          <t xml:space="preserve"/>
        </is>
      </c>
      <c r="C20" s="11">
        <f>SUM(C14:C19)</f>
      </c>
      <c r="D20" s="11">
        <f>SUM(D14:D19)</f>
      </c>
      <c r="E20" s="18">
        <f>1</f>
      </c>
    </row>
    <row r="22">
      <c r="A22" s="15" t="inlineStr">
        <is>
          <t xml:space="preserve">Azure</t>
        </is>
      </c>
      <c r="B22" s="9" t="inlineStr">
        <is>
          <t xml:space="preserve">VMs — D-series &amp; E-series</t>
        </is>
      </c>
      <c r="C22" s="10">
        <v>41360</v>
      </c>
      <c r="D22" s="10">
        <f>C22*12</f>
      </c>
      <c r="E22" s="12">
        <f>C22/SUM(C22:C27)</f>
      </c>
    </row>
    <row r="23">
      <c r="A23" s="15" t="inlineStr">
        <is>
          <t xml:space="preserve">Azure</t>
        </is>
      </c>
      <c r="B23" s="9" t="inlineStr">
        <is>
          <t xml:space="preserve">SQL Database — vCore GP</t>
        </is>
      </c>
      <c r="C23" s="10">
        <v>28740</v>
      </c>
      <c r="D23" s="10">
        <f>C23*12</f>
      </c>
      <c r="E23" s="12">
        <f>C23/SUM(C22:C27)</f>
      </c>
    </row>
    <row r="24">
      <c r="A24" s="15" t="inlineStr">
        <is>
          <t xml:space="preserve">Azure</t>
        </is>
      </c>
      <c r="B24" s="9" t="inlineStr">
        <is>
          <t xml:space="preserve">AKS + Container Apps</t>
        </is>
      </c>
      <c r="C24" s="10">
        <v>14260</v>
      </c>
      <c r="D24" s="10">
        <f>C24*12</f>
      </c>
      <c r="E24" s="12">
        <f>C24/SUM(C22:C27)</f>
      </c>
    </row>
    <row r="25">
      <c r="A25" s="15" t="inlineStr">
        <is>
          <t xml:space="preserve">Azure</t>
        </is>
      </c>
      <c r="B25" s="9" t="inlineStr">
        <is>
          <t xml:space="preserve">Storage · Blob Hot/Cool</t>
        </is>
      </c>
      <c r="C25" s="10">
        <v>11840</v>
      </c>
      <c r="D25" s="10">
        <f>C25*12</f>
      </c>
      <c r="E25" s="12">
        <f>C25/SUM(C22:C27)</f>
      </c>
    </row>
    <row r="26">
      <c r="A26" s="15" t="inlineStr">
        <is>
          <t xml:space="preserve">Azure</t>
        </is>
      </c>
      <c r="B26" s="9" t="inlineStr">
        <is>
          <t xml:space="preserve">Front Door + Bandwidth</t>
        </is>
      </c>
      <c r="C26" s="10">
        <v>8920</v>
      </c>
      <c r="D26" s="10">
        <f>C26*12</f>
      </c>
      <c r="E26" s="12">
        <f>C26/SUM(C22:C27)</f>
      </c>
    </row>
    <row r="27">
      <c r="A27" s="15" t="inlineStr">
        <is>
          <t xml:space="preserve">Azure</t>
        </is>
      </c>
      <c r="B27" s="9" t="inlineStr">
        <is>
          <t xml:space="preserve">All other (Functions, ASB, …)</t>
        </is>
      </c>
      <c r="C27" s="10">
        <v>11070</v>
      </c>
      <c r="D27" s="10">
        <f>C27*12</f>
      </c>
      <c r="E27" s="12">
        <f>C27/SUM(C22:C27)</f>
      </c>
    </row>
    <row r="28">
      <c r="A28" s="16" t="inlineStr">
        <is>
          <t xml:space="preserve">Azure · Total</t>
        </is>
      </c>
      <c r="B28" s="16" t="inlineStr">
        <is>
          <t xml:space="preserve"/>
        </is>
      </c>
      <c r="C28" s="11">
        <f>SUM(C22:C27)</f>
      </c>
      <c r="D28" s="11">
        <f>SUM(D22:D27)</f>
      </c>
      <c r="E28" s="18">
        <f>1</f>
      </c>
    </row>
    <row r="29">
      <c r="A29" s="16" t="inlineStr">
        <is>
          <t xml:space="preserve">COMBINED</t>
        </is>
      </c>
      <c r="B29" s="16" t="inlineStr">
        <is>
          <t xml:space="preserve"/>
        </is>
      </c>
      <c r="C29" s="11">
        <f>C20+C28</f>
      </c>
      <c r="D29" s="11">
        <f>D20+D28</f>
      </c>
      <c r="E29" s="16" t="inlineStr">
        <is>
          <t xml:space="preserve"/>
        </is>
      </c>
    </row>
    <row r="31" ht="26" customHeight="1">
      <c r="A31" s="8" t="inlineStr">
        <is>
          <t xml:space="preserve">// 03 — RECOMMENDATIONS · PRIORITISED BY NET ANNUAL SAVING</t>
        </is>
      </c>
      <c r="B31" s="8" t="inlineStr">
        <is>
          <t xml:space="preserve"/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</row>
    <row r="32">
      <c r="A32" s="7" t="inlineStr">
        <is>
          <t xml:space="preserve">#</t>
        </is>
      </c>
      <c r="B32" s="7" t="inlineStr">
        <is>
          <t xml:space="preserve">RECOMMENDATION</t>
        </is>
      </c>
      <c r="C32" s="7" t="inlineStr">
        <is>
          <t xml:space="preserve">CLOUD</t>
        </is>
      </c>
      <c r="D32" s="7" t="inlineStr">
        <is>
          <t xml:space="preserve">LEVER</t>
        </is>
      </c>
      <c r="E32" s="7" t="inlineStr">
        <is>
          <t xml:space="preserve">MONTHLY £</t>
        </is>
      </c>
      <c r="F32" s="7" t="inlineStr">
        <is>
          <t xml:space="preserve">ANNUAL £</t>
        </is>
      </c>
      <c r="G32" s="7" t="inlineStr">
        <is>
          <t xml:space="preserve">% OF SPEND</t>
        </is>
      </c>
      <c r="H32" s="7" t="inlineStr">
        <is>
          <t xml:space="preserve">EFFORT</t>
        </is>
      </c>
      <c r="I32" s="7" t="inlineStr">
        <is>
          <t xml:space="preserve">OWNER</t>
        </is>
      </c>
    </row>
    <row r="33">
      <c r="A33" s="9" t="inlineStr">
        <is>
          <t xml:space="preserve">01</t>
        </is>
      </c>
      <c r="B33" s="9" t="inlineStr">
        <is>
          <t xml:space="preserve">3-yr Compute Savings Plan — covers steady EC2 + Fargate baseline</t>
        </is>
      </c>
      <c r="C33" s="14" t="inlineStr">
        <is>
          <t xml:space="preserve">AWS</t>
        </is>
      </c>
      <c r="D33" s="9" t="inlineStr">
        <is>
          <t xml:space="preserve">Savings Plan</t>
        </is>
      </c>
      <c r="E33" s="10">
        <v>18420</v>
      </c>
      <c r="F33" s="10">
        <f>E33*12</f>
      </c>
      <c r="G33" s="12">
        <f>E33/284610</f>
      </c>
      <c r="H33" s="9" t="inlineStr">
        <is>
          <t xml:space="preserve">low</t>
        </is>
      </c>
      <c r="I33" s="9" t="inlineStr">
        <is>
          <t xml:space="preserve">Platform Eng</t>
        </is>
      </c>
    </row>
    <row r="34">
      <c r="A34" s="9" t="inlineStr">
        <is>
          <t xml:space="preserve">02</t>
        </is>
      </c>
      <c r="B34" s="9" t="inlineStr">
        <is>
          <t xml:space="preserve">3-yr Reserved Instances · SQL Database vCore — uksouth</t>
        </is>
      </c>
      <c r="C34" s="15" t="inlineStr">
        <is>
          <t xml:space="preserve">Azure</t>
        </is>
      </c>
      <c r="D34" s="9" t="inlineStr">
        <is>
          <t xml:space="preserve">RI</t>
        </is>
      </c>
      <c r="E34" s="10">
        <v>9860</v>
      </c>
      <c r="F34" s="10">
        <f>E34*12</f>
      </c>
      <c r="G34" s="12">
        <f>E34/284610</f>
      </c>
      <c r="H34" s="9" t="inlineStr">
        <is>
          <t xml:space="preserve">low</t>
        </is>
      </c>
      <c r="I34" s="9" t="inlineStr">
        <is>
          <t xml:space="preserve">DBA team</t>
        </is>
      </c>
    </row>
    <row r="35">
      <c r="A35" s="9" t="inlineStr">
        <is>
          <t xml:space="preserve">03</t>
        </is>
      </c>
      <c r="B35" s="9" t="inlineStr">
        <is>
          <t xml:space="preserve">RDS Reserved Instance · Aurora PostgreSQL · r6g.4xlarge ×6</t>
        </is>
      </c>
      <c r="C35" s="14" t="inlineStr">
        <is>
          <t xml:space="preserve">AWS</t>
        </is>
      </c>
      <c r="D35" s="9" t="inlineStr">
        <is>
          <t xml:space="preserve">RDS RI</t>
        </is>
      </c>
      <c r="E35" s="10">
        <v>7640</v>
      </c>
      <c r="F35" s="10">
        <f>E35*12</f>
      </c>
      <c r="G35" s="12">
        <f>E35/284610</f>
      </c>
      <c r="H35" s="9" t="inlineStr">
        <is>
          <t xml:space="preserve">low</t>
        </is>
      </c>
      <c r="I35" s="9" t="inlineStr">
        <is>
          <t xml:space="preserve">Data Platform</t>
        </is>
      </c>
    </row>
    <row r="36">
      <c r="A36" s="9" t="inlineStr">
        <is>
          <t xml:space="preserve">04</t>
        </is>
      </c>
      <c r="B36" s="9" t="inlineStr">
        <is>
          <t xml:space="preserve">Right-size 38 over-provisioned VMs — D8 → D4 · auto-shutdown dev</t>
        </is>
      </c>
      <c r="C36" s="15" t="inlineStr">
        <is>
          <t xml:space="preserve">Azure</t>
        </is>
      </c>
      <c r="D36" s="9" t="inlineStr">
        <is>
          <t xml:space="preserve">Right-size</t>
        </is>
      </c>
      <c r="E36" s="10">
        <v>8280</v>
      </c>
      <c r="F36" s="10">
        <f>E36*12</f>
      </c>
      <c r="G36" s="12">
        <f>E36/284610</f>
      </c>
      <c r="H36" s="9" t="inlineStr">
        <is>
          <t xml:space="preserve">medium</t>
        </is>
      </c>
      <c r="I36" s="9" t="inlineStr">
        <is>
          <t xml:space="preserve">App teams</t>
        </is>
      </c>
    </row>
    <row r="37">
      <c r="A37" s="9" t="inlineStr">
        <is>
          <t xml:space="preserve">05</t>
        </is>
      </c>
      <c r="B37" s="9" t="inlineStr">
        <is>
          <t xml:space="preserve">S3 lifecycle · Standard → IA → Glacier IR for cold logs (&gt;90d)</t>
        </is>
      </c>
      <c r="C37" s="14" t="inlineStr">
        <is>
          <t xml:space="preserve">AWS</t>
        </is>
      </c>
      <c r="D37" s="9" t="inlineStr">
        <is>
          <t xml:space="preserve">Lifecycle</t>
        </is>
      </c>
      <c r="E37" s="10">
        <v>5210</v>
      </c>
      <c r="F37" s="10">
        <f>E37*12</f>
      </c>
      <c r="G37" s="12">
        <f>E37/284610</f>
      </c>
      <c r="H37" s="9" t="inlineStr">
        <is>
          <t xml:space="preserve">low</t>
        </is>
      </c>
      <c r="I37" s="9" t="inlineStr">
        <is>
          <t xml:space="preserve">BMC delivery</t>
        </is>
      </c>
    </row>
    <row r="38">
      <c r="A38" s="9" t="inlineStr">
        <is>
          <t xml:space="preserve">06</t>
        </is>
      </c>
      <c r="B38" s="9" t="inlineStr">
        <is>
          <t xml:space="preserve">Migrate 12 EC2 → Graviton (m6i → m7g) on stateless services</t>
        </is>
      </c>
      <c r="C38" s="14" t="inlineStr">
        <is>
          <t xml:space="preserve">AWS</t>
        </is>
      </c>
      <c r="D38" s="9" t="inlineStr">
        <is>
          <t xml:space="preserve">Modernise</t>
        </is>
      </c>
      <c r="E38" s="10">
        <v>6880</v>
      </c>
      <c r="F38" s="10">
        <f>E38*12</f>
      </c>
      <c r="G38" s="12">
        <f>E38/284610</f>
      </c>
      <c r="H38" s="9" t="inlineStr">
        <is>
          <t xml:space="preserve">medium</t>
        </is>
      </c>
      <c r="I38" s="9" t="inlineStr">
        <is>
          <t xml:space="preserve">Platform Eng</t>
        </is>
      </c>
    </row>
    <row r="39">
      <c r="A39" s="9" t="inlineStr">
        <is>
          <t xml:space="preserve">07</t>
        </is>
      </c>
      <c r="B39" s="9" t="inlineStr">
        <is>
          <t xml:space="preserve">Azure Hybrid Benefit · apply existing SQL Server licences (BYOL)</t>
        </is>
      </c>
      <c r="C39" s="15" t="inlineStr">
        <is>
          <t xml:space="preserve">Azure</t>
        </is>
      </c>
      <c r="D39" s="9" t="inlineStr">
        <is>
          <t xml:space="preserve">Licence</t>
        </is>
      </c>
      <c r="E39" s="10">
        <v>4620</v>
      </c>
      <c r="F39" s="10">
        <f>E39*12</f>
      </c>
      <c r="G39" s="12">
        <f>E39/284610</f>
      </c>
      <c r="H39" s="9" t="inlineStr">
        <is>
          <t xml:space="preserve">low</t>
        </is>
      </c>
      <c r="I39" s="9" t="inlineStr">
        <is>
          <t xml:space="preserve">Procurement</t>
        </is>
      </c>
    </row>
    <row r="40">
      <c r="A40" s="9" t="inlineStr">
        <is>
          <t xml:space="preserve">08</t>
        </is>
      </c>
      <c r="B40" s="9" t="inlineStr">
        <is>
          <t xml:space="preserve">CloudFront price-class step-down + Origin Shield consolidation</t>
        </is>
      </c>
      <c r="C40" s="14" t="inlineStr">
        <is>
          <t xml:space="preserve">AWS</t>
        </is>
      </c>
      <c r="D40" s="9" t="inlineStr">
        <is>
          <t xml:space="preserve">Network</t>
        </is>
      </c>
      <c r="E40" s="10">
        <v>2940</v>
      </c>
      <c r="F40" s="10">
        <f>E40*12</f>
      </c>
      <c r="G40" s="12">
        <f>E40/284610</f>
      </c>
      <c r="H40" s="9" t="inlineStr">
        <is>
          <t xml:space="preserve">low</t>
        </is>
      </c>
      <c r="I40" s="9" t="inlineStr">
        <is>
          <t xml:space="preserve">BMC delivery</t>
        </is>
      </c>
    </row>
    <row r="41">
      <c r="A41" s="9" t="inlineStr">
        <is>
          <t xml:space="preserve">09</t>
        </is>
      </c>
      <c r="B41" s="9" t="inlineStr">
        <is>
          <t xml:space="preserve">Idle Front Door / Blob containers cleanup — orphaned dev tenants</t>
        </is>
      </c>
      <c r="C41" s="15" t="inlineStr">
        <is>
          <t xml:space="preserve">Azure</t>
        </is>
      </c>
      <c r="D41" s="9" t="inlineStr">
        <is>
          <t xml:space="preserve">Hygiene</t>
        </is>
      </c>
      <c r="E41" s="10">
        <v>1840</v>
      </c>
      <c r="F41" s="10">
        <f>E41*12</f>
      </c>
      <c r="G41" s="12">
        <f>E41/284610</f>
      </c>
      <c r="H41" s="9" t="inlineStr">
        <is>
          <t xml:space="preserve">low</t>
        </is>
      </c>
      <c r="I41" s="9" t="inlineStr">
        <is>
          <t xml:space="preserve">App teams</t>
        </is>
      </c>
    </row>
    <row r="42">
      <c r="A42" s="9" t="inlineStr">
        <is>
          <t xml:space="preserve">10</t>
        </is>
      </c>
      <c r="B42" s="9" t="inlineStr">
        <is>
          <t xml:space="preserve">EKS karpenter consolidation + spot for non-prod async workers</t>
        </is>
      </c>
      <c r="C42" s="14" t="inlineStr">
        <is>
          <t xml:space="preserve">AWS</t>
        </is>
      </c>
      <c r="D42" s="9" t="inlineStr">
        <is>
          <t xml:space="preserve">Schedule</t>
        </is>
      </c>
      <c r="E42" s="10">
        <v>6250</v>
      </c>
      <c r="F42" s="10">
        <f>E42*12</f>
      </c>
      <c r="G42" s="12">
        <f>E42/284610</f>
      </c>
      <c r="H42" s="9" t="inlineStr">
        <is>
          <t xml:space="preserve">high</t>
        </is>
      </c>
      <c r="I42" s="9" t="inlineStr">
        <is>
          <t xml:space="preserve">SRE</t>
        </is>
      </c>
    </row>
    <row r="43" ht="22" customHeight="1">
      <c r="A43" s="16" t="inlineStr">
        <is>
          <t xml:space="preserve"/>
        </is>
      </c>
      <c r="B43" s="16" t="inlineStr">
        <is>
          <t xml:space="preserve">TOTAL identified savings</t>
        </is>
      </c>
      <c r="C43" s="16" t="inlineStr">
        <is>
          <t xml:space="preserve"/>
        </is>
      </c>
      <c r="D43" s="16" t="inlineStr">
        <is>
          <t xml:space="preserve"/>
        </is>
      </c>
      <c r="E43" s="11">
        <f>SUM(E33:E42)</f>
      </c>
      <c r="F43" s="11">
        <f>SUM(F33:F42)</f>
      </c>
      <c r="G43" s="18">
        <f>SUM(E33:E42)/284610</f>
      </c>
      <c r="H43" s="16" t="inlineStr">
        <is>
          <t xml:space="preserve">payback ~4.1mo</t>
        </is>
      </c>
      <c r="I43" s="16" t="inlineStr">
        <is>
          <t xml:space="preserve">on £24k advisory fee</t>
        </is>
      </c>
    </row>
    <row r="45" ht="26" customHeight="1">
      <c r="A45" s="8" t="inlineStr">
        <is>
          <t xml:space="preserve">// 04 — COMMITMENT PLAN · RIs, SAVINGS PLANS &amp; HYBRID BENEFIT</t>
        </is>
      </c>
      <c r="B45" s="8" t="inlineStr">
        <is>
          <t xml:space="preserve"/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</row>
    <row r="46">
      <c r="A46" s="7" t="inlineStr">
        <is>
          <t xml:space="preserve">COMMITMENT</t>
        </is>
      </c>
      <c r="B46" s="7" t="inlineStr">
        <is>
          <t xml:space="preserve">CLOUD</t>
        </is>
      </c>
      <c r="C46" s="7" t="inlineStr">
        <is>
          <t xml:space="preserve">RESOURCE</t>
        </is>
      </c>
      <c r="D46" s="7" t="inlineStr">
        <is>
          <t xml:space="preserve">TERM</t>
        </is>
      </c>
      <c r="E46" s="7" t="inlineStr">
        <is>
          <t xml:space="preserve">PAYMENT</t>
        </is>
      </c>
      <c r="F46" s="7" t="inlineStr">
        <is>
          <t xml:space="preserve">ON-DEMAND £/MO</t>
        </is>
      </c>
      <c r="G46" s="7" t="inlineStr">
        <is>
          <t xml:space="preserve">COMMITTED £/MO</t>
        </is>
      </c>
      <c r="H46" s="7" t="inlineStr">
        <is>
          <t xml:space="preserve">SAVING %</t>
        </is>
      </c>
      <c r="I46" s="7" t="inlineStr">
        <is>
          <t xml:space="preserve">ANNUAL SAVING £</t>
        </is>
      </c>
    </row>
    <row r="47">
      <c r="A47" s="9" t="inlineStr">
        <is>
          <t xml:space="preserve">Compute Savings Plan</t>
        </is>
      </c>
      <c r="B47" s="14" t="inlineStr">
        <is>
          <t xml:space="preserve">AWS</t>
        </is>
      </c>
      <c r="C47" s="9" t="inlineStr">
        <is>
          <t xml:space="preserve">EC2 m6i/c7i + Fargate baseline</t>
        </is>
      </c>
      <c r="D47" s="9" t="inlineStr">
        <is>
          <t xml:space="preserve">3 yr</t>
        </is>
      </c>
      <c r="E47" s="9" t="inlineStr">
        <is>
          <t xml:space="preserve">No-upfront</t>
        </is>
      </c>
      <c r="F47" s="10">
        <v>42000</v>
      </c>
      <c r="G47" s="10">
        <v>23580</v>
      </c>
      <c r="H47" s="12">
        <f>(F47-G47)/F47</f>
      </c>
      <c r="I47" s="10">
        <f>(F47-G47)*12</f>
      </c>
    </row>
    <row r="48">
      <c r="A48" s="9" t="inlineStr">
        <is>
          <t xml:space="preserve">Reserved Instance</t>
        </is>
      </c>
      <c r="B48" s="14" t="inlineStr">
        <is>
          <t xml:space="preserve">AWS</t>
        </is>
      </c>
      <c r="C48" s="9" t="inlineStr">
        <is>
          <t xml:space="preserve">Aurora PostgreSQL r6g.4xlarge ×6</t>
        </is>
      </c>
      <c r="D48" s="9" t="inlineStr">
        <is>
          <t xml:space="preserve">3 yr</t>
        </is>
      </c>
      <c r="E48" s="9" t="inlineStr">
        <is>
          <t xml:space="preserve">Partial-upfront</t>
        </is>
      </c>
      <c r="F48" s="10">
        <v>18200</v>
      </c>
      <c r="G48" s="10">
        <v>10560</v>
      </c>
      <c r="H48" s="12">
        <f>(F48-G48)/F48</f>
      </c>
      <c r="I48" s="10">
        <f>(F48-G48)*12</f>
      </c>
    </row>
    <row r="49">
      <c r="A49" s="9" t="inlineStr">
        <is>
          <t xml:space="preserve">SQL Reserved Capacity</t>
        </is>
      </c>
      <c r="B49" s="15" t="inlineStr">
        <is>
          <t xml:space="preserve">Azure</t>
        </is>
      </c>
      <c r="C49" s="9" t="inlineStr">
        <is>
          <t xml:space="preserve">SQL DB vCore GP · uksouth · 24 vCore</t>
        </is>
      </c>
      <c r="D49" s="9" t="inlineStr">
        <is>
          <t xml:space="preserve">3 yr</t>
        </is>
      </c>
      <c r="E49" s="9" t="inlineStr">
        <is>
          <t xml:space="preserve">Monthly</t>
        </is>
      </c>
      <c r="F49" s="10">
        <v>23400</v>
      </c>
      <c r="G49" s="10">
        <v>13540</v>
      </c>
      <c r="H49" s="12">
        <f>(F49-G49)/F49</f>
      </c>
      <c r="I49" s="10">
        <f>(F49-G49)*12</f>
      </c>
    </row>
    <row r="50">
      <c r="A50" s="9" t="inlineStr">
        <is>
          <t xml:space="preserve">VM Reserved Instance</t>
        </is>
      </c>
      <c r="B50" s="15" t="inlineStr">
        <is>
          <t xml:space="preserve">Azure</t>
        </is>
      </c>
      <c r="C50" s="9" t="inlineStr">
        <is>
          <t xml:space="preserve">D16s_v5 ×14 · uksouth (after right-size)</t>
        </is>
      </c>
      <c r="D50" s="9" t="inlineStr">
        <is>
          <t xml:space="preserve">3 yr</t>
        </is>
      </c>
      <c r="E50" s="9" t="inlineStr">
        <is>
          <t xml:space="preserve">Monthly</t>
        </is>
      </c>
      <c r="F50" s="10">
        <v>19800</v>
      </c>
      <c r="G50" s="10">
        <v>12210</v>
      </c>
      <c r="H50" s="12">
        <f>(F50-G50)/F50</f>
      </c>
      <c r="I50" s="10">
        <f>(F50-G50)*12</f>
      </c>
    </row>
    <row r="51">
      <c r="A51" s="9" t="inlineStr">
        <is>
          <t xml:space="preserve">Azure Hybrid Benefit</t>
        </is>
      </c>
      <c r="B51" s="15" t="inlineStr">
        <is>
          <t xml:space="preserve">Azure</t>
        </is>
      </c>
      <c r="C51" s="9" t="inlineStr">
        <is>
          <t xml:space="preserve">SQL Server BYOL · 18 cores</t>
        </is>
      </c>
      <c r="D51" s="9" t="inlineStr">
        <is>
          <t xml:space="preserve">n/a</t>
        </is>
      </c>
      <c r="E51" s="9" t="inlineStr">
        <is>
          <t xml:space="preserve">Licence applied</t>
        </is>
      </c>
      <c r="F51" s="10">
        <v>9800</v>
      </c>
      <c r="G51" s="10">
        <v>5180</v>
      </c>
      <c r="H51" s="12">
        <f>(F51-G51)/F51</f>
      </c>
      <c r="I51" s="10">
        <f>(F51-G51)*12</f>
      </c>
    </row>
    <row r="52" ht="22" customHeight="1">
      <c r="A52" s="16" t="inlineStr">
        <is>
          <t xml:space="preserve">TOTAL committed-use programme</t>
        </is>
      </c>
      <c r="B52" s="16" t="inlineStr">
        <is>
          <t xml:space="preserve"/>
        </is>
      </c>
      <c r="C52" s="16" t="inlineStr">
        <is>
          <t xml:space="preserve"/>
        </is>
      </c>
      <c r="D52" s="16" t="inlineStr">
        <is>
          <t xml:space="preserve"/>
        </is>
      </c>
      <c r="E52" s="16" t="inlineStr">
        <is>
          <t xml:space="preserve"/>
        </is>
      </c>
      <c r="F52" s="11">
        <f>SUM(F47:F51)</f>
      </c>
      <c r="G52" s="11">
        <f>SUM(G47:G51)</f>
      </c>
      <c r="H52" s="18">
        <f>(SUM(F47:F51)-SUM(G47:G51))/SUM(F47:F51)</f>
      </c>
      <c r="I52" s="11">
        <f>SUM(I47:I51)</f>
      </c>
    </row>
    <row r="55">
      <c r="A55" s="17" t="inlineStr">
        <is>
          <t xml:space="preserve">// Notes: all formulas are live — edit yellow Monthly £ cells and the Annual £, % of spend, totals and savings recalculate automatically.</t>
        </is>
      </c>
    </row>
    <row r="56">
      <c r="A56" s="17" t="inlineStr">
        <is>
          <t xml:space="preserve">// BMC · Bimal Mohanan Consulting · mohanan.uk · confidential</t>
        </is>
      </c>
    </row>
  </sheetData>
  <mergeCells count="1">
    <mergeCell ref="A1:I1"/>
  </mergeCells>
  <pageMargins left="0.5" right="0.5" top="0.6" bottom="0.6" header="0.3" footer="0.3"/>
  <pageSetup orientation="landscape" paperSize="9"/>
</worksheet>
</file>